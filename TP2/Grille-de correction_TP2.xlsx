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4_{96C49D88-6C04-4894-9351-948BB8518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F17" i="1"/>
  <c r="C17" i="1"/>
  <c r="D11" i="1"/>
  <c r="F11" i="1"/>
  <c r="C11" i="1"/>
  <c r="C7" i="1"/>
  <c r="C8" i="1"/>
  <c r="C9" i="1"/>
  <c r="C6" i="1"/>
  <c r="F29" i="1" l="1"/>
  <c r="F5" i="1"/>
  <c r="D5" i="1"/>
  <c r="G7" i="1"/>
  <c r="G8" i="1"/>
  <c r="G9" i="1"/>
  <c r="G12" i="1"/>
  <c r="G13" i="1"/>
  <c r="G14" i="1"/>
  <c r="G15" i="1"/>
  <c r="G16" i="1"/>
  <c r="G18" i="1"/>
  <c r="G19" i="1"/>
  <c r="G20" i="1"/>
  <c r="G21" i="1"/>
  <c r="G22" i="1"/>
  <c r="G24" i="1"/>
  <c r="G25" i="1"/>
  <c r="G26" i="1"/>
  <c r="G6" i="1"/>
  <c r="E7" i="1"/>
  <c r="E8" i="1"/>
  <c r="E9" i="1"/>
  <c r="E12" i="1"/>
  <c r="E13" i="1"/>
  <c r="E14" i="1"/>
  <c r="E15" i="1"/>
  <c r="E16" i="1"/>
  <c r="E18" i="1"/>
  <c r="E19" i="1"/>
  <c r="E20" i="1"/>
  <c r="E21" i="1"/>
  <c r="E22" i="1"/>
  <c r="E24" i="1"/>
  <c r="E25" i="1"/>
  <c r="E26" i="1"/>
  <c r="E6" i="1"/>
  <c r="C5" i="1"/>
  <c r="G17" i="1" l="1"/>
  <c r="E11" i="1"/>
  <c r="D31" i="1"/>
  <c r="D30" i="1"/>
  <c r="F31" i="1"/>
  <c r="F30" i="1"/>
  <c r="E17" i="1"/>
  <c r="D28" i="1"/>
  <c r="F28" i="1"/>
  <c r="G11" i="1"/>
  <c r="C30" i="1"/>
  <c r="C28" i="1"/>
  <c r="D29" i="1"/>
  <c r="D34" i="1" s="1"/>
  <c r="G34" i="1" s="1"/>
  <c r="G5" i="1"/>
  <c r="E5" i="1"/>
  <c r="C31" i="1"/>
  <c r="C29" i="1"/>
  <c r="G31" i="1" l="1"/>
  <c r="G30" i="1"/>
  <c r="G29" i="1"/>
  <c r="G28" i="1"/>
  <c r="E31" i="1"/>
  <c r="E30" i="1"/>
  <c r="E29" i="1"/>
  <c r="E28" i="1"/>
  <c r="E34" i="1"/>
  <c r="D33" i="1"/>
  <c r="D35" i="1"/>
  <c r="D36" i="1"/>
  <c r="G36" i="1" l="1"/>
  <c r="E36" i="1"/>
  <c r="G35" i="1"/>
  <c r="E35" i="1"/>
  <c r="G33" i="1"/>
  <c r="E33" i="1"/>
</calcChain>
</file>

<file path=xl/sharedStrings.xml><?xml version="1.0" encoding="utf-8"?>
<sst xmlns="http://schemas.openxmlformats.org/spreadsheetml/2006/main" count="38" uniqueCount="29">
  <si>
    <t xml:space="preserve">Capacité #1 : Héritage et polymorphisme  </t>
  </si>
  <si>
    <t xml:space="preserve">Capacité #2 : Structures de données  </t>
  </si>
  <si>
    <t xml:space="preserve">Classe et organisation du code </t>
  </si>
  <si>
    <t>jeuFacile 45%</t>
  </si>
  <si>
    <t>Constructeur</t>
  </si>
  <si>
    <r>
      <t>ajouteJoueur</t>
    </r>
    <r>
      <rPr>
        <sz val="11"/>
        <color theme="1"/>
        <rFont val="Arial"/>
        <family val="2"/>
      </rPr>
      <t xml:space="preserve"> </t>
    </r>
  </si>
  <si>
    <r>
      <t>retireVaincuFacile</t>
    </r>
    <r>
      <rPr>
        <sz val="11"/>
        <color theme="1"/>
        <rFont val="Arial"/>
        <family val="2"/>
      </rPr>
      <t xml:space="preserve">() </t>
    </r>
  </si>
  <si>
    <t xml:space="preserve">Jeu 55% </t>
  </si>
  <si>
    <r>
      <t>dessine(int[][] dessin)</t>
    </r>
    <r>
      <rPr>
        <sz val="11"/>
        <color theme="1"/>
        <rFont val="Arial"/>
        <family val="2"/>
      </rPr>
      <t xml:space="preserve"> </t>
    </r>
  </si>
  <si>
    <t xml:space="preserve">Personnage Magicien 20% </t>
  </si>
  <si>
    <t>Un constructeur convenable et complet</t>
  </si>
  <si>
    <t xml:space="preserve">La méthode joue() </t>
  </si>
  <si>
    <t xml:space="preserve">Historique de personnage 15% </t>
  </si>
  <si>
    <r>
      <t xml:space="preserve"> </t>
    </r>
    <r>
      <rPr>
        <i/>
        <sz val="11"/>
        <color theme="1"/>
        <rFont val="Arial"/>
        <family val="2"/>
      </rPr>
      <t>toString</t>
    </r>
    <r>
      <rPr>
        <sz val="11"/>
        <color theme="1"/>
        <rFont val="Arial"/>
        <family val="2"/>
      </rPr>
      <t>() convenable et complète</t>
    </r>
  </si>
  <si>
    <r>
      <t>ajoutePersonnage</t>
    </r>
    <r>
      <rPr>
        <sz val="11"/>
        <color theme="1"/>
        <rFont val="Arial"/>
        <family val="2"/>
      </rPr>
      <t xml:space="preserve"> ()</t>
    </r>
  </si>
  <si>
    <r>
      <t xml:space="preserve">Joue() et </t>
    </r>
    <r>
      <rPr>
        <i/>
        <sz val="11"/>
        <color theme="1"/>
        <rFont val="Arial"/>
        <family val="2"/>
      </rPr>
      <t>joueJoueurFacile()</t>
    </r>
    <r>
      <rPr>
        <sz val="11"/>
        <color theme="1"/>
        <rFont val="Arial"/>
        <family val="2"/>
      </rPr>
      <t xml:space="preserve"> </t>
    </r>
  </si>
  <si>
    <t xml:space="preserve">dessineBonus(int[][] dessin) </t>
  </si>
  <si>
    <t xml:space="preserve">Points généraux </t>
  </si>
  <si>
    <t>Total</t>
  </si>
  <si>
    <t>Facile</t>
  </si>
  <si>
    <t>Normale</t>
  </si>
  <si>
    <t>facile avec Bonus</t>
  </si>
  <si>
    <t>Normale avec Bonus</t>
  </si>
  <si>
    <t>Capacité #1 
/</t>
  </si>
  <si>
    <t>Capacité #2
/</t>
  </si>
  <si>
    <t>Nom(s)</t>
  </si>
  <si>
    <t>TP2</t>
  </si>
  <si>
    <t>Capacité 2</t>
  </si>
  <si>
    <t>Capacité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</si>
</sst>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0" applyNumberFormat="1"/>
    <xf numFmtId="0" fontId="3" fillId="0" borderId="0" xfId="0" applyFont="1"/>
    <xf numFmtId="0" fontId="0" fillId="2" borderId="0" xfId="0" applyFill="1"/>
    <xf numFmtId="9" fontId="0" fillId="2" borderId="0" xfId="0" applyNumberFormat="1" applyFill="1"/>
    <xf numFmtId="0" fontId="4" fillId="2" borderId="0" xfId="0" applyFont="1" applyFill="1"/>
    <xf numFmtId="0" fontId="2" fillId="2" borderId="0" xfId="0" applyFont="1" applyFill="1"/>
    <xf numFmtId="0" fontId="2" fillId="0" borderId="0" xfId="0" applyFont="1"/>
    <xf numFmtId="0" fontId="5" fillId="0" borderId="0" xfId="0" applyFont="1"/>
    <xf numFmtId="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9" fontId="6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B1" sqref="B1"/>
    </sheetView>
  </sheetViews>
  <sheetFormatPr baseColWidth="10" defaultColWidth="9.109375" defaultRowHeight="14.4" x14ac:dyDescent="0.3"/>
  <cols>
    <col min="2" max="2" width="39.109375" customWidth="1"/>
    <col min="3" max="3" width="6.33203125" customWidth="1"/>
    <col min="4" max="4" width="38" customWidth="1"/>
    <col min="5" max="5" width="12.6640625" customWidth="1"/>
    <col min="6" max="6" width="37" customWidth="1"/>
    <col min="7" max="7" width="13.44140625" customWidth="1"/>
    <col min="8" max="8" width="32.33203125" customWidth="1"/>
  </cols>
  <sheetData>
    <row r="1" spans="1:8" x14ac:dyDescent="0.3">
      <c r="A1" t="s">
        <v>25</v>
      </c>
      <c r="E1" s="7" t="s">
        <v>26</v>
      </c>
    </row>
    <row r="3" spans="1:8" ht="28.8" x14ac:dyDescent="0.3">
      <c r="D3" s="3" t="s">
        <v>0</v>
      </c>
      <c r="E3" s="13" t="s">
        <v>23</v>
      </c>
      <c r="F3" s="3" t="s">
        <v>1</v>
      </c>
      <c r="G3" s="13" t="s">
        <v>24</v>
      </c>
    </row>
    <row r="4" spans="1:8" x14ac:dyDescent="0.3">
      <c r="D4" s="11">
        <v>0.06</v>
      </c>
      <c r="E4" s="11">
        <v>0.06</v>
      </c>
      <c r="F4" s="11">
        <v>0.15</v>
      </c>
      <c r="G4" s="11">
        <v>0.15</v>
      </c>
    </row>
    <row r="5" spans="1:8" x14ac:dyDescent="0.3">
      <c r="A5" s="5" t="s">
        <v>9</v>
      </c>
      <c r="B5" s="6"/>
      <c r="C5" s="4">
        <f>SUM(C6:C9)</f>
        <v>0.2</v>
      </c>
      <c r="D5" s="9">
        <f>SUM(D6:D9)</f>
        <v>5.7142857142857148E-2</v>
      </c>
      <c r="E5" s="9">
        <f>SUM(E6:E9)</f>
        <v>5.7142857142857148E-2</v>
      </c>
      <c r="F5" s="9">
        <f>SUM(F6:F9)</f>
        <v>0.14285714285714285</v>
      </c>
      <c r="G5" s="9">
        <f>SUM(G6:G9)</f>
        <v>0.14285714285714285</v>
      </c>
      <c r="H5" s="1"/>
    </row>
    <row r="6" spans="1:8" x14ac:dyDescent="0.3">
      <c r="B6" s="2" t="s">
        <v>2</v>
      </c>
      <c r="C6" s="1">
        <f>D6+F6</f>
        <v>0.06</v>
      </c>
      <c r="D6" s="9">
        <v>1.7142857142857144E-2</v>
      </c>
      <c r="E6" s="9">
        <f>C6*$E$4/21%</f>
        <v>1.7142857142857144E-2</v>
      </c>
      <c r="F6" s="9">
        <v>4.2857142857142858E-2</v>
      </c>
      <c r="G6" s="10">
        <f>C6*$G$4/21%</f>
        <v>4.2857142857142858E-2</v>
      </c>
    </row>
    <row r="7" spans="1:8" x14ac:dyDescent="0.3">
      <c r="B7" s="2" t="s">
        <v>10</v>
      </c>
      <c r="C7" s="1">
        <f t="shared" ref="C7:C9" si="0">D7+F7</f>
        <v>0.04</v>
      </c>
      <c r="D7" s="9">
        <v>1.1428571428571429E-2</v>
      </c>
      <c r="E7" s="9">
        <f>C7*$E$4/21%</f>
        <v>1.1428571428571429E-2</v>
      </c>
      <c r="F7" s="9">
        <v>2.8571428571428574E-2</v>
      </c>
      <c r="G7" s="10">
        <f>C7*$G$4/21%</f>
        <v>2.8571428571428574E-2</v>
      </c>
    </row>
    <row r="8" spans="1:8" x14ac:dyDescent="0.3">
      <c r="B8" s="2" t="s">
        <v>13</v>
      </c>
      <c r="C8" s="1">
        <f t="shared" si="0"/>
        <v>0.02</v>
      </c>
      <c r="D8" s="9">
        <v>5.7142857142857143E-3</v>
      </c>
      <c r="E8" s="9">
        <f>C8*$E$4/21%</f>
        <v>5.7142857142857143E-3</v>
      </c>
      <c r="F8" s="9">
        <v>1.4285714285714287E-2</v>
      </c>
      <c r="G8" s="10">
        <f>C8*$G$4/21%</f>
        <v>1.4285714285714287E-2</v>
      </c>
    </row>
    <row r="9" spans="1:8" x14ac:dyDescent="0.3">
      <c r="B9" s="2" t="s">
        <v>11</v>
      </c>
      <c r="C9" s="1">
        <f t="shared" si="0"/>
        <v>0.08</v>
      </c>
      <c r="D9" s="9">
        <v>2.2857142857142857E-2</v>
      </c>
      <c r="E9" s="9">
        <f>C9*$E$4/21%</f>
        <v>2.2857142857142857E-2</v>
      </c>
      <c r="F9" s="9">
        <v>5.7142857142857148E-2</v>
      </c>
      <c r="G9" s="10">
        <f>C9*$G$4/21%</f>
        <v>5.7142857142857148E-2</v>
      </c>
    </row>
    <row r="10" spans="1:8" x14ac:dyDescent="0.3">
      <c r="B10" s="2"/>
      <c r="D10" s="9"/>
      <c r="E10" s="9"/>
      <c r="F10" s="9"/>
      <c r="G10" s="10"/>
    </row>
    <row r="11" spans="1:8" x14ac:dyDescent="0.3">
      <c r="A11" s="6" t="s">
        <v>3</v>
      </c>
      <c r="B11" s="6"/>
      <c r="C11" s="4">
        <f>SUM(C12:C16)</f>
        <v>0.44999999999999996</v>
      </c>
      <c r="D11" s="12">
        <f>SUM(D12:D16)</f>
        <v>0.13142857142857142</v>
      </c>
      <c r="E11" s="12">
        <f t="shared" ref="E11:G11" si="1">SUM(E12:E16)</f>
        <v>0.12857142857142856</v>
      </c>
      <c r="F11" s="12">
        <f t="shared" si="1"/>
        <v>0.31857142857142862</v>
      </c>
      <c r="G11" s="12">
        <f t="shared" si="1"/>
        <v>0.32142857142857145</v>
      </c>
    </row>
    <row r="12" spans="1:8" x14ac:dyDescent="0.3">
      <c r="B12" s="2" t="s">
        <v>4</v>
      </c>
      <c r="C12" s="1">
        <v>0.02</v>
      </c>
      <c r="D12" s="9">
        <v>5.7142857142857143E-3</v>
      </c>
      <c r="E12" s="9">
        <f t="shared" ref="E12:E22" si="2">C12*$E$4/21%</f>
        <v>5.7142857142857143E-3</v>
      </c>
      <c r="F12" s="9">
        <v>1.4285714285714287E-2</v>
      </c>
      <c r="G12" s="10">
        <f t="shared" ref="G12:G22" si="3">C12*$G$4/21%</f>
        <v>1.4285714285714287E-2</v>
      </c>
    </row>
    <row r="13" spans="1:8" x14ac:dyDescent="0.3">
      <c r="B13" s="8" t="s">
        <v>5</v>
      </c>
      <c r="C13" s="1">
        <v>0.03</v>
      </c>
      <c r="D13" s="9">
        <v>8.5714285714285719E-3</v>
      </c>
      <c r="E13" s="9">
        <f t="shared" si="2"/>
        <v>8.5714285714285719E-3</v>
      </c>
      <c r="F13" s="9">
        <v>2.1428571428571429E-2</v>
      </c>
      <c r="G13" s="10">
        <f t="shared" si="3"/>
        <v>2.1428571428571429E-2</v>
      </c>
    </row>
    <row r="14" spans="1:8" x14ac:dyDescent="0.3">
      <c r="B14" s="8" t="s">
        <v>14</v>
      </c>
      <c r="C14" s="1">
        <v>0.06</v>
      </c>
      <c r="D14" s="9">
        <v>0.02</v>
      </c>
      <c r="E14" s="9">
        <f t="shared" si="2"/>
        <v>1.7142857142857144E-2</v>
      </c>
      <c r="F14" s="9">
        <v>0.04</v>
      </c>
      <c r="G14" s="10">
        <f t="shared" si="3"/>
        <v>4.2857142857142858E-2</v>
      </c>
    </row>
    <row r="15" spans="1:8" x14ac:dyDescent="0.3">
      <c r="B15" s="2" t="s">
        <v>15</v>
      </c>
      <c r="C15" s="1">
        <v>0.18</v>
      </c>
      <c r="D15" s="9">
        <v>5.1428571428571428E-2</v>
      </c>
      <c r="E15" s="9">
        <f t="shared" si="2"/>
        <v>5.1428571428571428E-2</v>
      </c>
      <c r="F15" s="9">
        <v>0.12857142857142859</v>
      </c>
      <c r="G15" s="10">
        <f t="shared" si="3"/>
        <v>0.12857142857142859</v>
      </c>
    </row>
    <row r="16" spans="1:8" x14ac:dyDescent="0.3">
      <c r="B16" s="8" t="s">
        <v>6</v>
      </c>
      <c r="C16" s="1">
        <v>0.16</v>
      </c>
      <c r="D16" s="9">
        <v>4.5714285714285714E-2</v>
      </c>
      <c r="E16" s="9">
        <f t="shared" si="2"/>
        <v>4.5714285714285714E-2</v>
      </c>
      <c r="F16" s="9">
        <v>0.1142857142857143</v>
      </c>
      <c r="G16" s="10">
        <f t="shared" si="3"/>
        <v>0.1142857142857143</v>
      </c>
    </row>
    <row r="17" spans="1:7" x14ac:dyDescent="0.3">
      <c r="A17" s="6" t="s">
        <v>7</v>
      </c>
      <c r="B17" s="6"/>
      <c r="C17" s="12">
        <f>SUM(C18:C22)</f>
        <v>0.55000000000000004</v>
      </c>
      <c r="D17" s="12">
        <f>SUM(D18:D22)</f>
        <v>0.15714285714285714</v>
      </c>
      <c r="E17" s="12">
        <f t="shared" ref="E17:G17" si="4">SUM(E18:E22)</f>
        <v>0.15714285714285714</v>
      </c>
      <c r="F17" s="12">
        <f t="shared" si="4"/>
        <v>0.3928571428571429</v>
      </c>
      <c r="G17" s="12">
        <f t="shared" si="4"/>
        <v>0.3928571428571429</v>
      </c>
    </row>
    <row r="18" spans="1:7" x14ac:dyDescent="0.3">
      <c r="B18" s="2" t="s">
        <v>4</v>
      </c>
      <c r="C18" s="1">
        <v>0.02</v>
      </c>
      <c r="D18" s="9">
        <v>5.7142857142857143E-3</v>
      </c>
      <c r="E18" s="9">
        <f t="shared" si="2"/>
        <v>5.7142857142857143E-3</v>
      </c>
      <c r="F18" s="9">
        <v>1.4285714285714287E-2</v>
      </c>
      <c r="G18" s="10">
        <f t="shared" si="3"/>
        <v>1.4285714285714287E-2</v>
      </c>
    </row>
    <row r="19" spans="1:7" x14ac:dyDescent="0.3">
      <c r="B19" s="8" t="s">
        <v>5</v>
      </c>
      <c r="C19" s="1">
        <v>0.03</v>
      </c>
      <c r="D19" s="9">
        <v>8.5714285714285719E-3</v>
      </c>
      <c r="E19" s="9">
        <f t="shared" si="2"/>
        <v>8.5714285714285719E-3</v>
      </c>
      <c r="F19" s="9">
        <v>2.1428571428571429E-2</v>
      </c>
      <c r="G19" s="10">
        <f t="shared" si="3"/>
        <v>2.1428571428571429E-2</v>
      </c>
    </row>
    <row r="20" spans="1:7" x14ac:dyDescent="0.3">
      <c r="B20" s="8" t="s">
        <v>14</v>
      </c>
      <c r="C20" s="1">
        <v>0.08</v>
      </c>
      <c r="D20" s="9">
        <v>2.2857142857142857E-2</v>
      </c>
      <c r="E20" s="9">
        <f t="shared" si="2"/>
        <v>2.2857142857142857E-2</v>
      </c>
      <c r="F20" s="9">
        <v>5.7142857142857148E-2</v>
      </c>
      <c r="G20" s="10">
        <f t="shared" si="3"/>
        <v>5.7142857142857148E-2</v>
      </c>
    </row>
    <row r="21" spans="1:7" x14ac:dyDescent="0.3">
      <c r="B21" s="2" t="s">
        <v>15</v>
      </c>
      <c r="C21" s="1">
        <v>0.2</v>
      </c>
      <c r="D21" s="9">
        <v>5.7142857142857148E-2</v>
      </c>
      <c r="E21" s="9">
        <f t="shared" si="2"/>
        <v>5.7142857142857148E-2</v>
      </c>
      <c r="F21" s="9">
        <v>0.14285714285714285</v>
      </c>
      <c r="G21" s="10">
        <f t="shared" si="3"/>
        <v>0.14285714285714285</v>
      </c>
    </row>
    <row r="22" spans="1:7" x14ac:dyDescent="0.3">
      <c r="B22" s="8" t="s">
        <v>6</v>
      </c>
      <c r="C22" s="1">
        <v>0.22</v>
      </c>
      <c r="D22" s="9">
        <v>6.2857142857142861E-2</v>
      </c>
      <c r="E22" s="9">
        <f t="shared" si="2"/>
        <v>6.2857142857142861E-2</v>
      </c>
      <c r="F22" s="9">
        <v>0.15714285714285717</v>
      </c>
      <c r="G22" s="10">
        <f t="shared" si="3"/>
        <v>0.15714285714285717</v>
      </c>
    </row>
    <row r="23" spans="1:7" x14ac:dyDescent="0.3">
      <c r="A23" s="5" t="s">
        <v>12</v>
      </c>
      <c r="B23" s="6"/>
      <c r="D23" s="9"/>
      <c r="E23" s="9"/>
      <c r="F23" s="9"/>
      <c r="G23" s="10"/>
    </row>
    <row r="24" spans="1:7" x14ac:dyDescent="0.3">
      <c r="B24" s="8" t="s">
        <v>8</v>
      </c>
      <c r="C24" s="1">
        <v>0.15</v>
      </c>
      <c r="D24" s="9">
        <v>4.2857142857142858E-2</v>
      </c>
      <c r="E24" s="9">
        <f>C24*$E$4/21%</f>
        <v>4.2857142857142858E-2</v>
      </c>
      <c r="F24" s="9">
        <v>0.10714285714285714</v>
      </c>
      <c r="G24" s="10">
        <f>C24*$G$4/21%</f>
        <v>0.10714285714285714</v>
      </c>
    </row>
    <row r="25" spans="1:7" x14ac:dyDescent="0.3">
      <c r="B25" s="8" t="s">
        <v>16</v>
      </c>
      <c r="C25" s="1">
        <v>0.2</v>
      </c>
      <c r="D25" s="9">
        <v>5.7142857142857148E-2</v>
      </c>
      <c r="E25" s="9">
        <f>C25*$E$4/21%</f>
        <v>5.7142857142857148E-2</v>
      </c>
      <c r="F25" s="9">
        <v>0.14285714285714285</v>
      </c>
      <c r="G25" s="10">
        <f>C25*$G$4/21%</f>
        <v>0.14285714285714285</v>
      </c>
    </row>
    <row r="26" spans="1:7" x14ac:dyDescent="0.3">
      <c r="A26" s="5" t="s">
        <v>17</v>
      </c>
      <c r="B26" s="6"/>
      <c r="C26" s="1">
        <v>0.1</v>
      </c>
      <c r="D26" s="9">
        <v>2.8571428571428574E-2</v>
      </c>
      <c r="E26" s="9">
        <f>C26*$E$4/21%</f>
        <v>2.8571428571428574E-2</v>
      </c>
      <c r="F26" s="9">
        <v>7.1428571428571425E-2</v>
      </c>
      <c r="G26" s="10">
        <f>C26*$G$4/21%</f>
        <v>7.1428571428571425E-2</v>
      </c>
    </row>
    <row r="28" spans="1:7" x14ac:dyDescent="0.3">
      <c r="A28" s="7" t="s">
        <v>18</v>
      </c>
      <c r="B28" s="7" t="s">
        <v>19</v>
      </c>
      <c r="C28" s="12">
        <f>C5+C11+C24+C26</f>
        <v>0.89999999999999991</v>
      </c>
      <c r="D28" s="12">
        <f t="shared" ref="D28:G28" si="5">D5+D11+D24+D26</f>
        <v>0.26</v>
      </c>
      <c r="E28" s="12">
        <f t="shared" si="5"/>
        <v>0.25714285714285717</v>
      </c>
      <c r="F28" s="12">
        <f t="shared" si="5"/>
        <v>0.64</v>
      </c>
      <c r="G28" s="12">
        <f t="shared" si="5"/>
        <v>0.64285714285714279</v>
      </c>
    </row>
    <row r="29" spans="1:7" x14ac:dyDescent="0.3">
      <c r="A29" s="7"/>
      <c r="B29" s="7" t="s">
        <v>21</v>
      </c>
      <c r="C29" s="1">
        <f>C5+C11+C25+C26</f>
        <v>0.94999999999999984</v>
      </c>
      <c r="D29" s="12">
        <f t="shared" ref="D29:G29" si="6">D5+D11+D25+D26</f>
        <v>0.2742857142857143</v>
      </c>
      <c r="E29" s="12">
        <f t="shared" si="6"/>
        <v>0.27142857142857146</v>
      </c>
      <c r="F29" s="12">
        <f t="shared" si="6"/>
        <v>0.67571428571428571</v>
      </c>
      <c r="G29" s="12">
        <f t="shared" si="6"/>
        <v>0.6785714285714286</v>
      </c>
    </row>
    <row r="30" spans="1:7" x14ac:dyDescent="0.3">
      <c r="A30" s="7"/>
      <c r="B30" s="7" t="s">
        <v>20</v>
      </c>
      <c r="C30" s="1">
        <f>C5+C17+C24+C26</f>
        <v>1</v>
      </c>
      <c r="D30" s="12">
        <f t="shared" ref="D30:G30" si="7">D5+D17+D24+D26</f>
        <v>0.28571428571428575</v>
      </c>
      <c r="E30" s="12">
        <f t="shared" si="7"/>
        <v>0.28571428571428575</v>
      </c>
      <c r="F30" s="12">
        <f t="shared" si="7"/>
        <v>0.7142857142857143</v>
      </c>
      <c r="G30" s="12">
        <f t="shared" si="7"/>
        <v>0.7142857142857143</v>
      </c>
    </row>
    <row r="31" spans="1:7" x14ac:dyDescent="0.3">
      <c r="A31" s="7"/>
      <c r="B31" s="7" t="s">
        <v>22</v>
      </c>
      <c r="C31" s="1">
        <f>C5+C17+C25+C26</f>
        <v>1.05</v>
      </c>
      <c r="D31" s="12">
        <f t="shared" ref="D31:G31" si="8">D5+D17+D25+D26</f>
        <v>0.30000000000000004</v>
      </c>
      <c r="E31" s="12">
        <f t="shared" si="8"/>
        <v>0.30000000000000004</v>
      </c>
      <c r="F31" s="12">
        <f t="shared" si="8"/>
        <v>0.75</v>
      </c>
      <c r="G31" s="12">
        <f t="shared" si="8"/>
        <v>0.75</v>
      </c>
    </row>
    <row r="32" spans="1:7" x14ac:dyDescent="0.3">
      <c r="D32" s="14"/>
      <c r="E32" t="s">
        <v>28</v>
      </c>
      <c r="G32" t="s">
        <v>27</v>
      </c>
    </row>
    <row r="33" spans="2:8" x14ac:dyDescent="0.3">
      <c r="B33" s="7" t="s">
        <v>19</v>
      </c>
      <c r="D33" s="15">
        <f>D28+F28</f>
        <v>0.9</v>
      </c>
      <c r="E33" s="17">
        <f>D33*6</f>
        <v>5.4</v>
      </c>
      <c r="F33" s="17"/>
      <c r="G33" s="17">
        <f>D33*15</f>
        <v>13.5</v>
      </c>
    </row>
    <row r="34" spans="2:8" x14ac:dyDescent="0.3">
      <c r="B34" s="7" t="s">
        <v>21</v>
      </c>
      <c r="D34" s="12">
        <f t="shared" ref="D34:D36" si="9">D29+F29</f>
        <v>0.95</v>
      </c>
      <c r="E34" s="17">
        <f t="shared" ref="E34:E36" si="10">D34*6</f>
        <v>5.6999999999999993</v>
      </c>
      <c r="F34" s="18"/>
      <c r="G34" s="17">
        <f t="shared" ref="G34:G36" si="11">D34*15</f>
        <v>14.25</v>
      </c>
      <c r="H34" s="1"/>
    </row>
    <row r="35" spans="2:8" x14ac:dyDescent="0.3">
      <c r="B35" s="7" t="s">
        <v>20</v>
      </c>
      <c r="D35" s="12">
        <f t="shared" si="9"/>
        <v>1</v>
      </c>
      <c r="E35" s="17">
        <f t="shared" si="10"/>
        <v>6</v>
      </c>
      <c r="F35" s="18"/>
      <c r="G35" s="17">
        <f t="shared" si="11"/>
        <v>15</v>
      </c>
    </row>
    <row r="36" spans="2:8" x14ac:dyDescent="0.3">
      <c r="B36" s="7" t="s">
        <v>22</v>
      </c>
      <c r="D36" s="12">
        <f t="shared" si="9"/>
        <v>1.05</v>
      </c>
      <c r="E36" s="17">
        <f t="shared" si="10"/>
        <v>6.3000000000000007</v>
      </c>
      <c r="F36" s="18"/>
      <c r="G36" s="17">
        <f t="shared" si="11"/>
        <v>15.75</v>
      </c>
    </row>
    <row r="38" spans="2:8" x14ac:dyDescent="0.3">
      <c r="D38" s="1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2026-03-25T01:59:23Z</dcterms:modified>
</cp:coreProperties>
</file>